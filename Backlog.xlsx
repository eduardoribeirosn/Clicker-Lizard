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dusa\OneDrive\Documentos\ZDU\Criacao de Jogos\Games\Clicker-Lizard\"/>
    </mc:Choice>
  </mc:AlternateContent>
  <xr:revisionPtr revIDLastSave="0" documentId="13_ncr:1_{429CC2C4-3FF2-4623-AF65-A91EFF516DBF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Plan1" sheetId="1" r:id="rId1"/>
    <sheet name="Clicker Liza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J8" i="1"/>
  <c r="K7" i="1"/>
  <c r="J7" i="1"/>
  <c r="K6" i="1"/>
  <c r="J6" i="1"/>
  <c r="K5" i="1"/>
  <c r="J5" i="1"/>
  <c r="K4" i="1"/>
  <c r="J4" i="1"/>
  <c r="K3" i="1"/>
  <c r="J3" i="1"/>
  <c r="L3" i="1" s="1"/>
  <c r="L4" i="1" s="1"/>
  <c r="L5" i="1" s="1"/>
  <c r="L6" i="1" s="1"/>
  <c r="L7" i="1" s="1"/>
  <c r="L8" i="1" s="1"/>
  <c r="M3" i="1" l="1"/>
  <c r="M4" i="1" s="1"/>
  <c r="M5" i="1" s="1"/>
  <c r="M6" i="1" s="1"/>
  <c r="M7" i="1" s="1"/>
  <c r="M8" i="1" s="1"/>
</calcChain>
</file>

<file path=xl/sharedStrings.xml><?xml version="1.0" encoding="utf-8"?>
<sst xmlns="http://schemas.openxmlformats.org/spreadsheetml/2006/main" count="261" uniqueCount="143">
  <si>
    <t>PRODUCT BACKLOG - ZENLYX</t>
  </si>
  <si>
    <t>Tabela de Fibonacci - ZENLYX</t>
  </si>
  <si>
    <t>Requisito</t>
  </si>
  <si>
    <t>Descrição</t>
  </si>
  <si>
    <t>Classificação</t>
  </si>
  <si>
    <t>Tamanho</t>
  </si>
  <si>
    <t>Fibonacci</t>
  </si>
  <si>
    <t>Prioridade</t>
  </si>
  <si>
    <t>Sprint</t>
  </si>
  <si>
    <t>Pontos Fibonacci</t>
  </si>
  <si>
    <t>Entregue</t>
  </si>
  <si>
    <t>Estimativa da Sprint</t>
  </si>
  <si>
    <t>Desempenho da Sprint</t>
  </si>
  <si>
    <t>Sprint 0</t>
  </si>
  <si>
    <t>Total</t>
  </si>
  <si>
    <t>Ferramenta de Gestão.</t>
  </si>
  <si>
    <t>Utilizar o Github para versionamento e backup, Trello para organização e Excel para organização.</t>
  </si>
  <si>
    <t>Importante</t>
  </si>
  <si>
    <t>P</t>
  </si>
  <si>
    <t>Planejamento.</t>
  </si>
  <si>
    <t>Planejar o projeto e detalhar cada requisito para ter uma noção geral do que vai ser feito.</t>
  </si>
  <si>
    <t>M</t>
  </si>
  <si>
    <t>Sprint 1</t>
  </si>
  <si>
    <t>Sprint 2</t>
  </si>
  <si>
    <t>Documentação.</t>
  </si>
  <si>
    <t>Contexto, Objetivo, Justificativa e Escopo (Descrição resumida do projeto, Requisitos do Projeto, Macro Cronograma, Riscos e Restrições, Resultados Esperado, Limites e Exclusões, Recursos Necessários, Partes interessadas (stakeholders)</t>
  </si>
  <si>
    <t>Essencial</t>
  </si>
  <si>
    <t>GG</t>
  </si>
  <si>
    <t>Sprint 3</t>
  </si>
  <si>
    <t>Diagrama de Negócio</t>
  </si>
  <si>
    <t>Desenvolver o diagrama de negócio</t>
  </si>
  <si>
    <t>Sprint 4</t>
  </si>
  <si>
    <t>Diagrama de Solução Técnica</t>
  </si>
  <si>
    <t>Desenvolver o diagrama de solução técnica</t>
  </si>
  <si>
    <t>Socioemocional.</t>
  </si>
  <si>
    <t>Desenvolver uma narrativa coerente do porque o tema (Criação de jogos) é importante para mim.</t>
  </si>
  <si>
    <t>G</t>
  </si>
  <si>
    <t>Identidade Visual do Projeto</t>
  </si>
  <si>
    <t>Criar a identidade visual tanto do site como do jogo</t>
  </si>
  <si>
    <t>PP</t>
  </si>
  <si>
    <t>Protótipo do Site Institucional.</t>
  </si>
  <si>
    <t>Desenvolver um Protótipo do Site Institucional no Figma</t>
  </si>
  <si>
    <t>Protótipo da Tela de Login</t>
  </si>
  <si>
    <t>Desenvolver um Protótipo da Tela de Login no Figma</t>
  </si>
  <si>
    <t>Protótipo da Tela de Cadastro</t>
  </si>
  <si>
    <t>Desenvolver um Protótipo da Tela de Cadastro no Figma</t>
  </si>
  <si>
    <t>Protótipo da Tela de Dashboard.</t>
  </si>
  <si>
    <t>Desenvolver um Protótipo da Tela de Dashboard no Figma</t>
  </si>
  <si>
    <t>Protótipo do Jogo</t>
  </si>
  <si>
    <t>Desenvolver um Protótipo do Jogo no Figma</t>
  </si>
  <si>
    <t>Site Institucional.</t>
  </si>
  <si>
    <t>Desenvolver um site falando sobre mim, sobre minhas ideias de criação de jogos e com opções de Login e Cadastro</t>
  </si>
  <si>
    <t>Tela de Login</t>
  </si>
  <si>
    <t>Desenvolver uma tela de Login com Validações e que após o Login, faz para uma tela com meus jogos desenvolvidos</t>
  </si>
  <si>
    <t>Tela de Cadastro</t>
  </si>
  <si>
    <t>Desenvolver uma tela de Cadastro com Validações e que após o Cadastro, vá para tela de Login</t>
  </si>
  <si>
    <t>Jogo.</t>
  </si>
  <si>
    <t>Desenvolver um Jogo - Tela onde mostra meus jogos concluídos</t>
  </si>
  <si>
    <t>Criação do Personagem</t>
  </si>
  <si>
    <r>
      <t>0º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Você cria seu personagem (Masculino ou Feminino), Skin (inicialmente apenas uma sombra toda preta) ...</t>
    </r>
  </si>
  <si>
    <t>Criação do Nível de Usuário</t>
  </si>
  <si>
    <r>
      <t>5º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Nível do Personagem/Conta (Desbloqueia Torres).</t>
    </r>
  </si>
  <si>
    <t>Criação de Status</t>
  </si>
  <si>
    <r>
      <t>6º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Status (Dano, Vida, Defesa...).</t>
    </r>
  </si>
  <si>
    <t>Criação de do Sistema de Inimigos básicos</t>
  </si>
  <si>
    <r>
      <t>9º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Inimigos básicos (dropando EXP e possivelmente equipamentos).</t>
    </r>
  </si>
  <si>
    <t>Dashboard.</t>
  </si>
  <si>
    <t>Desenvolver uma tela de Dashboard com métricas e KPIS (Possivelmente sendo sobre Status do personagem ou conquistas adquiridas no jogo.</t>
  </si>
  <si>
    <t>Gráficos da Dashboard</t>
  </si>
  <si>
    <t>Desenvolver os Gráficos da Dashboard</t>
  </si>
  <si>
    <t>Kpis/Métricas da Dashboard</t>
  </si>
  <si>
    <t>Desenvolver as Métricas e KPIS da Dashboard</t>
  </si>
  <si>
    <t>Criação de Equipamentos</t>
  </si>
  <si>
    <r>
      <t>7º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Equipamentos (Bônus de Status).</t>
    </r>
  </si>
  <si>
    <t>Criação de Inventário</t>
  </si>
  <si>
    <r>
      <t>8º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Inventário (para guardar equipamentos e possivelmente Habilidades).</t>
    </r>
  </si>
  <si>
    <t>Criação de Torres de Inimigos</t>
  </si>
  <si>
    <r>
      <t>10º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Sistema de Torres (é liberado após um certo nível).</t>
    </r>
  </si>
  <si>
    <t>Criação de Bosses</t>
  </si>
  <si>
    <r>
      <t>11º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Sistema de Bosses (é liberado após derrotar a torre do boss).</t>
    </r>
  </si>
  <si>
    <t>Modelagem de Dados</t>
  </si>
  <si>
    <t>Desenvolver a Modelagem de dados do Projeto</t>
  </si>
  <si>
    <t>Script do BD.</t>
  </si>
  <si>
    <t>Desenvolver o Script referente a modelagem do Projeto</t>
  </si>
  <si>
    <t>BD na VM.</t>
  </si>
  <si>
    <t>Alocar o Banco de Dados na VM</t>
  </si>
  <si>
    <t>API de Cadastro e Save do Jogo - Web Data Viz</t>
  </si>
  <si>
    <t>Interligar o Cadastro de Usuário e o Save do Jogo com o banco de dados utilizando a API Web Data Viz</t>
  </si>
  <si>
    <t>Preparar a Apresentação</t>
  </si>
  <si>
    <t>Preparar e Treinar para apresentar o projeto para a Banca</t>
  </si>
  <si>
    <t>Criação de Elementos</t>
  </si>
  <si>
    <r>
      <t>1º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Sorteia um elemento (Água, Fogo, Terra, Vento e Raio).</t>
    </r>
  </si>
  <si>
    <t>Desejável</t>
  </si>
  <si>
    <t>Criação da Classe</t>
  </si>
  <si>
    <r>
      <t>2º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Escolhe uma classe (Guerreiro, Arqueiro, Mago, (Assassino, Tanque ...)).</t>
    </r>
  </si>
  <si>
    <t>Criação da Lore</t>
  </si>
  <si>
    <r>
      <t>3º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Aparece um Mini texto explicando a Lore do Jogo ou o que você tem que fazer.</t>
    </r>
  </si>
  <si>
    <t>Criação do Tutorial</t>
  </si>
  <si>
    <r>
      <t>4º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Talvez um tutorial.</t>
    </r>
  </si>
  <si>
    <t>Criação de Habilidades/Ataques</t>
  </si>
  <si>
    <r>
      <t>12º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Possivelmente um sistema de Habilidades/Ataques (para ser usado no combate na torre e boss, ou apenas no boss).</t>
    </r>
  </si>
  <si>
    <t>Nome Requisito</t>
  </si>
  <si>
    <t>Desc Requisito</t>
  </si>
  <si>
    <t>Importante/Essencial/Desejavel</t>
  </si>
  <si>
    <t>PP a GG</t>
  </si>
  <si>
    <t>3 a 21</t>
  </si>
  <si>
    <t>SLA</t>
  </si>
  <si>
    <t>SPRINTS</t>
  </si>
  <si>
    <t>Click Padrão</t>
  </si>
  <si>
    <t>Zengia</t>
  </si>
  <si>
    <t>Upgrades do Click</t>
  </si>
  <si>
    <t>Geradores de Elemento</t>
  </si>
  <si>
    <t>Escala de Custo dos Upgrades de Click</t>
  </si>
  <si>
    <t>Escala de Custo dos Upgrades de Geradores</t>
  </si>
  <si>
    <t>Método de Salvar Jogo</t>
  </si>
  <si>
    <t>Objeto Save - Informações do User</t>
  </si>
  <si>
    <t>Ganho offline</t>
  </si>
  <si>
    <t>Números arredondados</t>
  </si>
  <si>
    <t>Sistema de Bloqueios</t>
  </si>
  <si>
    <t>-----</t>
  </si>
  <si>
    <t>Vibração se possível</t>
  </si>
  <si>
    <t>Barras enchendo</t>
  </si>
  <si>
    <t>Micro feedback ao passar o mouse</t>
  </si>
  <si>
    <t>Coisas desativadas (cinza)</t>
  </si>
  <si>
    <t>Mostrar custos</t>
  </si>
  <si>
    <t>Mostrar ganhos</t>
  </si>
  <si>
    <t>Prestigios</t>
  </si>
  <si>
    <t>Opcional (caminhos diferentes)</t>
  </si>
  <si>
    <t>Conquistas</t>
  </si>
  <si>
    <t>Cartas Colecionaveis</t>
  </si>
  <si>
    <t>Balanceamento</t>
  </si>
  <si>
    <t>Auto save ao sair</t>
  </si>
  <si>
    <t>Botão de Reset</t>
  </si>
  <si>
    <t>Estrutura</t>
  </si>
  <si>
    <t>GitHub</t>
  </si>
  <si>
    <t>Documentação</t>
  </si>
  <si>
    <t>Jornada Documentada</t>
  </si>
  <si>
    <t>Hosting</t>
  </si>
  <si>
    <t>Plataformas do Jogo</t>
  </si>
  <si>
    <t>Testes</t>
  </si>
  <si>
    <t>Pergunta (Quanto tempo o jogador fica, onde ele para)</t>
  </si>
  <si>
    <t>Identidade</t>
  </si>
  <si>
    <t>Motivo para Jogar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</si>
</sst>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568E1"/>
      <name val="Calibri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1568E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4" xfId="0" applyFont="1" applyFill="1" applyBorder="1"/>
    <xf numFmtId="0" fontId="1" fillId="6" borderId="1" xfId="0" applyFont="1" applyFill="1" applyBorder="1"/>
    <xf numFmtId="0" fontId="0" fillId="0" borderId="1" xfId="0" applyBorder="1"/>
    <xf numFmtId="0" fontId="5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5" xfId="0" applyFill="1" applyBorder="1"/>
    <xf numFmtId="0" fontId="4" fillId="8" borderId="3" xfId="0" applyFont="1" applyFill="1" applyBorder="1"/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/>
    <xf numFmtId="0" fontId="5" fillId="9" borderId="1" xfId="0" applyFont="1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wrapText="1"/>
    </xf>
    <xf numFmtId="0" fontId="5" fillId="9" borderId="1" xfId="0" applyFont="1" applyFill="1" applyBorder="1"/>
    <xf numFmtId="0" fontId="0" fillId="9" borderId="1" xfId="0" applyFill="1" applyBorder="1"/>
    <xf numFmtId="0" fontId="5" fillId="9" borderId="1" xfId="0" applyFont="1" applyFill="1" applyBorder="1" applyAlignment="1">
      <alignment horizontal="left" vertical="center"/>
    </xf>
    <xf numFmtId="0" fontId="0" fillId="9" borderId="5" xfId="0" applyFill="1" applyBorder="1"/>
    <xf numFmtId="0" fontId="4" fillId="10" borderId="2" xfId="0" applyFont="1" applyFill="1" applyBorder="1"/>
    <xf numFmtId="0" fontId="4" fillId="10" borderId="3" xfId="0" applyFont="1" applyFill="1" applyBorder="1" applyAlignment="1">
      <alignment horizontal="center"/>
    </xf>
    <xf numFmtId="0" fontId="4" fillId="10" borderId="3" xfId="0" applyFont="1" applyFill="1" applyBorder="1"/>
    <xf numFmtId="0" fontId="4" fillId="10" borderId="4" xfId="0" applyFont="1" applyFill="1" applyBorder="1"/>
    <xf numFmtId="0" fontId="5" fillId="11" borderId="1" xfId="0" applyFont="1" applyFill="1" applyBorder="1" applyAlignment="1">
      <alignment horizontal="left" vertical="center"/>
    </xf>
    <xf numFmtId="0" fontId="0" fillId="11" borderId="6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5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5" fillId="11" borderId="1" xfId="0" applyFont="1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4" fillId="12" borderId="2" xfId="0" applyFont="1" applyFill="1" applyBorder="1"/>
    <xf numFmtId="0" fontId="4" fillId="12" borderId="3" xfId="0" applyFont="1" applyFill="1" applyBorder="1" applyAlignment="1">
      <alignment horizontal="center"/>
    </xf>
    <xf numFmtId="0" fontId="4" fillId="12" borderId="3" xfId="0" applyFont="1" applyFill="1" applyBorder="1"/>
    <xf numFmtId="0" fontId="4" fillId="12" borderId="4" xfId="0" applyFont="1" applyFill="1" applyBorder="1"/>
    <xf numFmtId="0" fontId="5" fillId="13" borderId="1" xfId="0" applyFont="1" applyFill="1" applyBorder="1" applyAlignment="1">
      <alignment wrapText="1"/>
    </xf>
    <xf numFmtId="0" fontId="0" fillId="13" borderId="6" xfId="0" applyFill="1" applyBorder="1" applyAlignment="1">
      <alignment wrapText="1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5" fillId="13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wrapText="1"/>
    </xf>
    <xf numFmtId="0" fontId="5" fillId="13" borderId="1" xfId="0" applyFont="1" applyFill="1" applyBorder="1" applyAlignment="1">
      <alignment vertical="center"/>
    </xf>
    <xf numFmtId="0" fontId="0" fillId="13" borderId="5" xfId="0" applyFill="1" applyBorder="1" applyAlignment="1">
      <alignment wrapText="1"/>
    </xf>
    <xf numFmtId="0" fontId="4" fillId="14" borderId="2" xfId="0" applyFont="1" applyFill="1" applyBorder="1"/>
    <xf numFmtId="0" fontId="4" fillId="14" borderId="3" xfId="0" applyFont="1" applyFill="1" applyBorder="1" applyAlignment="1">
      <alignment horizontal="center"/>
    </xf>
    <xf numFmtId="0" fontId="4" fillId="14" borderId="3" xfId="0" applyFont="1" applyFill="1" applyBorder="1"/>
    <xf numFmtId="0" fontId="4" fillId="14" borderId="4" xfId="0" applyFont="1" applyFill="1" applyBorder="1"/>
    <xf numFmtId="0" fontId="5" fillId="15" borderId="1" xfId="0" applyFont="1" applyFill="1" applyBorder="1" applyAlignment="1">
      <alignment horizontal="left" vertical="center"/>
    </xf>
    <xf numFmtId="0" fontId="5" fillId="15" borderId="6" xfId="0" applyFont="1" applyFill="1" applyBorder="1" applyAlignment="1">
      <alignment vertical="center"/>
    </xf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0" fontId="5" fillId="15" borderId="1" xfId="0" applyFont="1" applyFill="1" applyBorder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[1]Backlog!$L$2</c:f>
              <c:strCache>
                <c:ptCount val="1"/>
                <c:pt idx="0">
                  <c:v>Estimativa da Sprint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859-4C65-8CF4-323316C09FC9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1859-4C65-8CF4-323316C09FC9}"/>
              </c:ext>
            </c:extLst>
          </c:dPt>
          <c:cat>
            <c:strRef>
              <c:f>[1]Backlog!$I$3:$I$8</c:f>
              <c:strCache>
                <c:ptCount val="6"/>
                <c:pt idx="0">
                  <c:v>Total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[1]Backlog!$L$3:$L$8</c:f>
              <c:numCache>
                <c:formatCode>General</c:formatCode>
                <c:ptCount val="6"/>
                <c:pt idx="0">
                  <c:v>328</c:v>
                </c:pt>
                <c:pt idx="1">
                  <c:v>315</c:v>
                </c:pt>
                <c:pt idx="2">
                  <c:v>213</c:v>
                </c:pt>
                <c:pt idx="3">
                  <c:v>158</c:v>
                </c:pt>
                <c:pt idx="4">
                  <c:v>37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9-4C65-8CF4-323316C09FC9}"/>
            </c:ext>
          </c:extLst>
        </c:ser>
        <c:ser>
          <c:idx val="1"/>
          <c:order val="1"/>
          <c:tx>
            <c:strRef>
              <c:f>[1]Backlog!$M$2</c:f>
              <c:strCache>
                <c:ptCount val="1"/>
                <c:pt idx="0">
                  <c:v>Desempenho da Sprint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1859-4C65-8CF4-323316C09FC9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1859-4C65-8CF4-323316C09FC9}"/>
              </c:ext>
            </c:extLst>
          </c:dPt>
          <c:cat>
            <c:strRef>
              <c:f>[1]Backlog!$I$3:$I$8</c:f>
              <c:strCache>
                <c:ptCount val="6"/>
                <c:pt idx="0">
                  <c:v>Total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[1]Backlog!$M$3:$M$8</c:f>
              <c:numCache>
                <c:formatCode>General</c:formatCode>
                <c:ptCount val="6"/>
                <c:pt idx="0">
                  <c:v>328</c:v>
                </c:pt>
                <c:pt idx="1">
                  <c:v>315</c:v>
                </c:pt>
                <c:pt idx="2">
                  <c:v>284</c:v>
                </c:pt>
                <c:pt idx="3">
                  <c:v>210</c:v>
                </c:pt>
                <c:pt idx="4">
                  <c:v>134</c:v>
                </c:pt>
                <c:pt idx="5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9-4C65-8CF4-323316C09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588079"/>
        <c:axId val="1525588559"/>
      </c:lineChart>
      <c:catAx>
        <c:axId val="15255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588559"/>
        <c:crosses val="autoZero"/>
        <c:auto val="1"/>
        <c:lblAlgn val="ctr"/>
        <c:lblOffset val="100"/>
        <c:noMultiLvlLbl val="0"/>
      </c:catAx>
      <c:valAx>
        <c:axId val="15255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9</xdr:row>
      <xdr:rowOff>16668</xdr:rowOff>
    </xdr:from>
    <xdr:to>
      <xdr:col>12</xdr:col>
      <xdr:colOff>685800</xdr:colOff>
      <xdr:row>23</xdr:row>
      <xdr:rowOff>159543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1DA7C7-A341-4988-AB71-74D816CAD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dusa\OneDrive\Documentos\ZDU\SPTECH%20ZDU\1&#176;%20Semestre\Projeto-Individual\Documentos\Product-Backlog.xlsx" TargetMode="External"/><Relationship Id="rId1" Type="http://schemas.openxmlformats.org/officeDocument/2006/relationships/externalLinkPath" Target="/Users/zdusa/OneDrive/Documentos/ZDU/SPTECH%20ZDU/1&#176;%20Semestre/Projeto-Individual/Documentos/Product-Back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</sheetNames>
    <sheetDataSet>
      <sheetData sheetId="0">
        <row r="2">
          <cell r="L2" t="str">
            <v>Estimativa da Sprint</v>
          </cell>
          <cell r="M2" t="str">
            <v>Desempenho da Sprint</v>
          </cell>
        </row>
        <row r="3">
          <cell r="I3" t="str">
            <v>Total</v>
          </cell>
          <cell r="L3">
            <v>328</v>
          </cell>
          <cell r="M3">
            <v>328</v>
          </cell>
        </row>
        <row r="4">
          <cell r="I4" t="str">
            <v>Sprint 0</v>
          </cell>
          <cell r="L4">
            <v>315</v>
          </cell>
          <cell r="M4">
            <v>315</v>
          </cell>
        </row>
        <row r="5">
          <cell r="I5" t="str">
            <v>Sprint 1</v>
          </cell>
          <cell r="L5">
            <v>213</v>
          </cell>
          <cell r="M5">
            <v>284</v>
          </cell>
        </row>
        <row r="6">
          <cell r="I6" t="str">
            <v>Sprint 2</v>
          </cell>
          <cell r="L6">
            <v>158</v>
          </cell>
          <cell r="M6">
            <v>210</v>
          </cell>
        </row>
        <row r="7">
          <cell r="I7" t="str">
            <v>Sprint 3</v>
          </cell>
          <cell r="L7">
            <v>37</v>
          </cell>
          <cell r="M7">
            <v>134</v>
          </cell>
        </row>
        <row r="8">
          <cell r="I8" t="str">
            <v>Sprint 4</v>
          </cell>
          <cell r="L8">
            <v>0</v>
          </cell>
          <cell r="M8">
            <v>121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zoomScaleNormal="100" workbookViewId="0">
      <selection activeCell="A2" sqref="A1:G2"/>
    </sheetView>
  </sheetViews>
  <sheetFormatPr defaultRowHeight="15.75" customHeight="1" x14ac:dyDescent="0.25"/>
  <cols>
    <col min="1" max="1" width="47.42578125" bestFit="1" customWidth="1"/>
    <col min="2" max="2" width="124.5703125" bestFit="1" customWidth="1"/>
    <col min="3" max="3" width="13.140625" bestFit="1" customWidth="1"/>
    <col min="4" max="5" width="10.140625" bestFit="1" customWidth="1"/>
    <col min="6" max="6" width="11.28515625" bestFit="1" customWidth="1"/>
    <col min="7" max="7" width="7.7109375" bestFit="1" customWidth="1"/>
    <col min="9" max="9" width="7.7109375" bestFit="1" customWidth="1"/>
    <col min="10" max="10" width="16" bestFit="1" customWidth="1"/>
    <col min="11" max="11" width="9" bestFit="1" customWidth="1"/>
    <col min="12" max="12" width="18.7109375" bestFit="1" customWidth="1"/>
    <col min="13" max="13" width="21.5703125" bestFit="1" customWidth="1"/>
  </cols>
  <sheetData>
    <row r="1" spans="1:13" ht="15.75" customHeight="1" x14ac:dyDescent="0.25">
      <c r="A1" s="1" t="s">
        <v>0</v>
      </c>
      <c r="B1" s="1"/>
      <c r="C1" s="1"/>
      <c r="D1" s="1"/>
      <c r="E1" s="1"/>
      <c r="F1" s="1"/>
      <c r="G1" s="1"/>
      <c r="I1" s="2" t="s">
        <v>1</v>
      </c>
      <c r="J1" s="2"/>
      <c r="K1" s="2"/>
      <c r="L1" s="2"/>
      <c r="M1" s="2"/>
    </row>
    <row r="2" spans="1:13" ht="15.75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I2" s="4"/>
      <c r="J2" s="5" t="s">
        <v>9</v>
      </c>
      <c r="K2" s="5" t="s">
        <v>10</v>
      </c>
      <c r="L2" s="5" t="s">
        <v>11</v>
      </c>
      <c r="M2" s="5" t="s">
        <v>12</v>
      </c>
    </row>
    <row r="3" spans="1:13" ht="15.75" customHeight="1" x14ac:dyDescent="0.25">
      <c r="A3" s="6"/>
      <c r="B3" s="7" t="s">
        <v>13</v>
      </c>
      <c r="C3" s="8"/>
      <c r="D3" s="8"/>
      <c r="E3" s="8"/>
      <c r="F3" s="8"/>
      <c r="G3" s="9"/>
      <c r="I3" s="10" t="s">
        <v>14</v>
      </c>
      <c r="J3" s="11">
        <f>SUM(E4:E5,E7:E17,E19:E25,E27:E38,E40:E44)</f>
        <v>328</v>
      </c>
      <c r="K3" s="11">
        <f>SUM(K4:K8)</f>
        <v>207</v>
      </c>
      <c r="L3" s="11">
        <f>J3</f>
        <v>328</v>
      </c>
      <c r="M3" s="11">
        <f>J3</f>
        <v>328</v>
      </c>
    </row>
    <row r="4" spans="1:13" ht="15.75" customHeight="1" x14ac:dyDescent="0.25">
      <c r="A4" s="12" t="s">
        <v>15</v>
      </c>
      <c r="B4" s="13" t="s">
        <v>16</v>
      </c>
      <c r="C4" s="14" t="s">
        <v>17</v>
      </c>
      <c r="D4" s="15" t="s">
        <v>18</v>
      </c>
      <c r="E4" s="15">
        <v>5</v>
      </c>
      <c r="F4" s="15">
        <v>2</v>
      </c>
      <c r="G4" s="15" t="s">
        <v>13</v>
      </c>
      <c r="I4" s="4" t="s">
        <v>13</v>
      </c>
      <c r="J4" s="11">
        <f>SUM(E4:E5)</f>
        <v>13</v>
      </c>
      <c r="K4" s="11">
        <f>E4+E5</f>
        <v>13</v>
      </c>
      <c r="L4" s="11">
        <f t="shared" ref="L4:M6" si="0">L3-J4</f>
        <v>315</v>
      </c>
      <c r="M4" s="11">
        <f t="shared" si="0"/>
        <v>315</v>
      </c>
    </row>
    <row r="5" spans="1:13" ht="15.75" customHeight="1" x14ac:dyDescent="0.25">
      <c r="A5" s="12" t="s">
        <v>19</v>
      </c>
      <c r="B5" s="16" t="s">
        <v>20</v>
      </c>
      <c r="C5" s="14" t="s">
        <v>17</v>
      </c>
      <c r="D5" s="15" t="s">
        <v>21</v>
      </c>
      <c r="E5" s="15">
        <v>8</v>
      </c>
      <c r="F5" s="15">
        <v>1</v>
      </c>
      <c r="G5" s="15" t="s">
        <v>13</v>
      </c>
      <c r="I5" s="4" t="s">
        <v>22</v>
      </c>
      <c r="J5" s="11">
        <f>SUM(E7:E17)</f>
        <v>102</v>
      </c>
      <c r="K5" s="11">
        <f>E7+E8+E9</f>
        <v>31</v>
      </c>
      <c r="L5" s="11">
        <f t="shared" si="0"/>
        <v>213</v>
      </c>
      <c r="M5" s="11">
        <f t="shared" si="0"/>
        <v>284</v>
      </c>
    </row>
    <row r="6" spans="1:13" ht="15.75" customHeight="1" x14ac:dyDescent="0.25">
      <c r="A6" s="17"/>
      <c r="B6" s="18" t="s">
        <v>22</v>
      </c>
      <c r="C6" s="17"/>
      <c r="D6" s="17"/>
      <c r="E6" s="17"/>
      <c r="F6" s="17"/>
      <c r="G6" s="19"/>
      <c r="I6" s="4" t="s">
        <v>23</v>
      </c>
      <c r="J6" s="11">
        <f>SUM(E19:E25)</f>
        <v>55</v>
      </c>
      <c r="K6" s="11">
        <f>E11+E12+E13+E15+E14+E16+E17+E19+E20</f>
        <v>74</v>
      </c>
      <c r="L6" s="11">
        <f t="shared" si="0"/>
        <v>158</v>
      </c>
      <c r="M6" s="11">
        <f t="shared" si="0"/>
        <v>210</v>
      </c>
    </row>
    <row r="7" spans="1:13" ht="15.75" customHeight="1" x14ac:dyDescent="0.25">
      <c r="A7" s="20" t="s">
        <v>24</v>
      </c>
      <c r="B7" s="21" t="s">
        <v>25</v>
      </c>
      <c r="C7" s="22" t="s">
        <v>26</v>
      </c>
      <c r="D7" s="23" t="s">
        <v>27</v>
      </c>
      <c r="E7" s="23">
        <v>21</v>
      </c>
      <c r="F7" s="23">
        <v>1</v>
      </c>
      <c r="G7" s="23" t="s">
        <v>22</v>
      </c>
      <c r="I7" s="4" t="s">
        <v>28</v>
      </c>
      <c r="J7" s="11">
        <f>SUM(E27:E38)</f>
        <v>121</v>
      </c>
      <c r="K7" s="11">
        <f>E21+E23+E24+E25+E27+E28+E29+E34+E36</f>
        <v>76</v>
      </c>
      <c r="L7" s="11">
        <f>L6-J7</f>
        <v>37</v>
      </c>
      <c r="M7" s="11">
        <f>M6-K7</f>
        <v>134</v>
      </c>
    </row>
    <row r="8" spans="1:13" ht="15.75" customHeight="1" x14ac:dyDescent="0.25">
      <c r="A8" s="20" t="s">
        <v>29</v>
      </c>
      <c r="B8" s="24" t="s">
        <v>30</v>
      </c>
      <c r="C8" s="22" t="s">
        <v>17</v>
      </c>
      <c r="D8" s="23" t="s">
        <v>18</v>
      </c>
      <c r="E8" s="23">
        <v>5</v>
      </c>
      <c r="F8" s="23">
        <v>10</v>
      </c>
      <c r="G8" s="23" t="s">
        <v>22</v>
      </c>
      <c r="I8" s="4" t="s">
        <v>31</v>
      </c>
      <c r="J8" s="11">
        <f>SUM(E40:E44)</f>
        <v>37</v>
      </c>
      <c r="K8" s="11">
        <f>E35+E37</f>
        <v>13</v>
      </c>
      <c r="L8" s="11">
        <f>L7-J8</f>
        <v>0</v>
      </c>
      <c r="M8" s="11">
        <f>M7-K8</f>
        <v>121</v>
      </c>
    </row>
    <row r="9" spans="1:13" ht="15.75" customHeight="1" x14ac:dyDescent="0.25">
      <c r="A9" s="25" t="s">
        <v>32</v>
      </c>
      <c r="B9" s="24" t="s">
        <v>33</v>
      </c>
      <c r="C9" s="22" t="s">
        <v>17</v>
      </c>
      <c r="D9" s="23" t="s">
        <v>18</v>
      </c>
      <c r="E9" s="23">
        <v>5</v>
      </c>
      <c r="F9" s="23">
        <v>9</v>
      </c>
      <c r="G9" s="23" t="s">
        <v>22</v>
      </c>
    </row>
    <row r="10" spans="1:13" ht="15.75" customHeight="1" x14ac:dyDescent="0.25">
      <c r="A10" s="25" t="s">
        <v>34</v>
      </c>
      <c r="B10" s="26" t="s">
        <v>35</v>
      </c>
      <c r="C10" s="22" t="s">
        <v>17</v>
      </c>
      <c r="D10" s="23" t="s">
        <v>36</v>
      </c>
      <c r="E10" s="23">
        <v>13</v>
      </c>
      <c r="F10" s="23">
        <v>2</v>
      </c>
      <c r="G10" s="23" t="s">
        <v>22</v>
      </c>
    </row>
    <row r="11" spans="1:13" ht="15.75" customHeight="1" x14ac:dyDescent="0.25">
      <c r="A11" s="25" t="s">
        <v>37</v>
      </c>
      <c r="B11" s="26" t="s">
        <v>38</v>
      </c>
      <c r="C11" s="22" t="s">
        <v>17</v>
      </c>
      <c r="D11" s="23" t="s">
        <v>39</v>
      </c>
      <c r="E11" s="23">
        <v>3</v>
      </c>
      <c r="F11" s="23">
        <v>11</v>
      </c>
      <c r="G11" s="23" t="s">
        <v>22</v>
      </c>
    </row>
    <row r="12" spans="1:13" ht="15.75" customHeight="1" x14ac:dyDescent="0.25">
      <c r="A12" s="27" t="s">
        <v>40</v>
      </c>
      <c r="B12" s="24" t="s">
        <v>41</v>
      </c>
      <c r="C12" s="22" t="s">
        <v>17</v>
      </c>
      <c r="D12" s="23" t="s">
        <v>21</v>
      </c>
      <c r="E12" s="23">
        <v>8</v>
      </c>
      <c r="F12" s="23">
        <v>3</v>
      </c>
      <c r="G12" s="23" t="s">
        <v>22</v>
      </c>
    </row>
    <row r="13" spans="1:13" ht="15.75" customHeight="1" x14ac:dyDescent="0.25">
      <c r="A13" s="27" t="s">
        <v>42</v>
      </c>
      <c r="B13" s="24" t="s">
        <v>43</v>
      </c>
      <c r="C13" s="22" t="s">
        <v>17</v>
      </c>
      <c r="D13" s="23" t="s">
        <v>18</v>
      </c>
      <c r="E13" s="23">
        <v>5</v>
      </c>
      <c r="F13" s="23">
        <v>4</v>
      </c>
      <c r="G13" s="23" t="s">
        <v>22</v>
      </c>
    </row>
    <row r="14" spans="1:13" ht="15.75" customHeight="1" x14ac:dyDescent="0.25">
      <c r="A14" s="27" t="s">
        <v>44</v>
      </c>
      <c r="B14" s="24" t="s">
        <v>45</v>
      </c>
      <c r="C14" s="22" t="s">
        <v>17</v>
      </c>
      <c r="D14" s="23" t="s">
        <v>18</v>
      </c>
      <c r="E14" s="23">
        <v>5</v>
      </c>
      <c r="F14" s="23">
        <v>5</v>
      </c>
      <c r="G14" s="23" t="s">
        <v>22</v>
      </c>
    </row>
    <row r="15" spans="1:13" ht="15.75" customHeight="1" x14ac:dyDescent="0.25">
      <c r="A15" s="27" t="s">
        <v>46</v>
      </c>
      <c r="B15" s="24" t="s">
        <v>47</v>
      </c>
      <c r="C15" s="22" t="s">
        <v>17</v>
      </c>
      <c r="D15" s="23" t="s">
        <v>21</v>
      </c>
      <c r="E15" s="23">
        <v>8</v>
      </c>
      <c r="F15" s="23">
        <v>8</v>
      </c>
      <c r="G15" s="23" t="s">
        <v>22</v>
      </c>
    </row>
    <row r="16" spans="1:13" ht="15.75" customHeight="1" x14ac:dyDescent="0.25">
      <c r="A16" s="27" t="s">
        <v>48</v>
      </c>
      <c r="B16" s="24" t="s">
        <v>49</v>
      </c>
      <c r="C16" s="22" t="s">
        <v>17</v>
      </c>
      <c r="D16" s="23" t="s">
        <v>21</v>
      </c>
      <c r="E16" s="23">
        <v>8</v>
      </c>
      <c r="F16" s="23">
        <v>7</v>
      </c>
      <c r="G16" s="23" t="s">
        <v>22</v>
      </c>
    </row>
    <row r="17" spans="1:7" ht="15.75" customHeight="1" x14ac:dyDescent="0.25">
      <c r="A17" s="25" t="s">
        <v>50</v>
      </c>
      <c r="B17" s="28" t="s">
        <v>51</v>
      </c>
      <c r="C17" s="22" t="s">
        <v>26</v>
      </c>
      <c r="D17" s="23" t="s">
        <v>27</v>
      </c>
      <c r="E17" s="23">
        <v>21</v>
      </c>
      <c r="F17" s="23">
        <v>6</v>
      </c>
      <c r="G17" s="23" t="s">
        <v>22</v>
      </c>
    </row>
    <row r="18" spans="1:7" ht="15.75" customHeight="1" x14ac:dyDescent="0.25">
      <c r="A18" s="29"/>
      <c r="B18" s="30" t="s">
        <v>23</v>
      </c>
      <c r="C18" s="31"/>
      <c r="D18" s="31"/>
      <c r="E18" s="31"/>
      <c r="F18" s="31"/>
      <c r="G18" s="32"/>
    </row>
    <row r="19" spans="1:7" ht="15.75" customHeight="1" x14ac:dyDescent="0.25">
      <c r="A19" s="33" t="s">
        <v>52</v>
      </c>
      <c r="B19" s="34" t="s">
        <v>53</v>
      </c>
      <c r="C19" s="35" t="s">
        <v>26</v>
      </c>
      <c r="D19" s="36" t="s">
        <v>21</v>
      </c>
      <c r="E19" s="36">
        <v>8</v>
      </c>
      <c r="F19" s="36">
        <v>1</v>
      </c>
      <c r="G19" s="36" t="s">
        <v>23</v>
      </c>
    </row>
    <row r="20" spans="1:7" ht="15.75" customHeight="1" x14ac:dyDescent="0.25">
      <c r="A20" s="33" t="s">
        <v>54</v>
      </c>
      <c r="B20" s="37" t="s">
        <v>55</v>
      </c>
      <c r="C20" s="35" t="s">
        <v>26</v>
      </c>
      <c r="D20" s="36" t="s">
        <v>21</v>
      </c>
      <c r="E20" s="36">
        <v>8</v>
      </c>
      <c r="F20" s="36">
        <v>2</v>
      </c>
      <c r="G20" s="36" t="s">
        <v>23</v>
      </c>
    </row>
    <row r="21" spans="1:7" ht="15.75" customHeight="1" x14ac:dyDescent="0.25">
      <c r="A21" s="38" t="s">
        <v>56</v>
      </c>
      <c r="B21" s="39" t="s">
        <v>57</v>
      </c>
      <c r="C21" s="35" t="s">
        <v>26</v>
      </c>
      <c r="D21" s="36" t="s">
        <v>21</v>
      </c>
      <c r="E21" s="36">
        <v>8</v>
      </c>
      <c r="F21" s="36">
        <v>3</v>
      </c>
      <c r="G21" s="36" t="s">
        <v>23</v>
      </c>
    </row>
    <row r="22" spans="1:7" ht="15.75" customHeight="1" x14ac:dyDescent="0.25">
      <c r="A22" s="33" t="s">
        <v>58</v>
      </c>
      <c r="B22" s="40" t="s">
        <v>59</v>
      </c>
      <c r="C22" s="35" t="s">
        <v>17</v>
      </c>
      <c r="D22" s="36" t="s">
        <v>18</v>
      </c>
      <c r="E22" s="36">
        <v>5</v>
      </c>
      <c r="F22" s="36">
        <v>4</v>
      </c>
      <c r="G22" s="36" t="s">
        <v>23</v>
      </c>
    </row>
    <row r="23" spans="1:7" ht="15.75" customHeight="1" x14ac:dyDescent="0.25">
      <c r="A23" s="33" t="s">
        <v>60</v>
      </c>
      <c r="B23" s="40" t="s">
        <v>61</v>
      </c>
      <c r="C23" s="35" t="s">
        <v>26</v>
      </c>
      <c r="D23" s="36" t="s">
        <v>18</v>
      </c>
      <c r="E23" s="36">
        <v>5</v>
      </c>
      <c r="F23" s="36">
        <v>5</v>
      </c>
      <c r="G23" s="36" t="s">
        <v>23</v>
      </c>
    </row>
    <row r="24" spans="1:7" ht="15.75" customHeight="1" x14ac:dyDescent="0.25">
      <c r="A24" s="33" t="s">
        <v>62</v>
      </c>
      <c r="B24" s="40" t="s">
        <v>63</v>
      </c>
      <c r="C24" s="35" t="s">
        <v>26</v>
      </c>
      <c r="D24" s="36" t="s">
        <v>21</v>
      </c>
      <c r="E24" s="36">
        <v>8</v>
      </c>
      <c r="F24" s="36">
        <v>6</v>
      </c>
      <c r="G24" s="36" t="s">
        <v>23</v>
      </c>
    </row>
    <row r="25" spans="1:7" ht="15.75" customHeight="1" x14ac:dyDescent="0.25">
      <c r="A25" s="33" t="s">
        <v>64</v>
      </c>
      <c r="B25" s="41" t="s">
        <v>65</v>
      </c>
      <c r="C25" s="35" t="s">
        <v>26</v>
      </c>
      <c r="D25" s="36" t="s">
        <v>36</v>
      </c>
      <c r="E25" s="36">
        <v>13</v>
      </c>
      <c r="F25" s="36">
        <v>7</v>
      </c>
      <c r="G25" s="36" t="s">
        <v>23</v>
      </c>
    </row>
    <row r="26" spans="1:7" ht="15.75" customHeight="1" x14ac:dyDescent="0.25">
      <c r="A26" s="42"/>
      <c r="B26" s="43" t="s">
        <v>28</v>
      </c>
      <c r="C26" s="44"/>
      <c r="D26" s="44"/>
      <c r="E26" s="44"/>
      <c r="F26" s="44"/>
      <c r="G26" s="45"/>
    </row>
    <row r="27" spans="1:7" ht="15.75" customHeight="1" x14ac:dyDescent="0.25">
      <c r="A27" s="46" t="s">
        <v>66</v>
      </c>
      <c r="B27" s="47" t="s">
        <v>67</v>
      </c>
      <c r="C27" s="48" t="s">
        <v>26</v>
      </c>
      <c r="D27" s="49" t="s">
        <v>36</v>
      </c>
      <c r="E27" s="49">
        <v>13</v>
      </c>
      <c r="F27" s="49">
        <v>4</v>
      </c>
      <c r="G27" s="49" t="s">
        <v>28</v>
      </c>
    </row>
    <row r="28" spans="1:7" ht="15.75" customHeight="1" x14ac:dyDescent="0.25">
      <c r="A28" s="50" t="s">
        <v>68</v>
      </c>
      <c r="B28" s="51" t="s">
        <v>69</v>
      </c>
      <c r="C28" s="48" t="s">
        <v>26</v>
      </c>
      <c r="D28" s="49" t="s">
        <v>21</v>
      </c>
      <c r="E28" s="49">
        <v>8</v>
      </c>
      <c r="F28" s="49">
        <v>5</v>
      </c>
      <c r="G28" s="49" t="s">
        <v>28</v>
      </c>
    </row>
    <row r="29" spans="1:7" ht="15.75" customHeight="1" x14ac:dyDescent="0.25">
      <c r="A29" s="50" t="s">
        <v>70</v>
      </c>
      <c r="B29" s="51" t="s">
        <v>71</v>
      </c>
      <c r="C29" s="48" t="s">
        <v>26</v>
      </c>
      <c r="D29" s="49" t="s">
        <v>21</v>
      </c>
      <c r="E29" s="49">
        <v>8</v>
      </c>
      <c r="F29" s="49">
        <v>6</v>
      </c>
      <c r="G29" s="49" t="s">
        <v>28</v>
      </c>
    </row>
    <row r="30" spans="1:7" ht="15.75" customHeight="1" x14ac:dyDescent="0.25">
      <c r="A30" s="50" t="s">
        <v>72</v>
      </c>
      <c r="B30" s="52" t="s">
        <v>73</v>
      </c>
      <c r="C30" s="48" t="s">
        <v>17</v>
      </c>
      <c r="D30" s="49" t="s">
        <v>21</v>
      </c>
      <c r="E30" s="49">
        <v>8</v>
      </c>
      <c r="F30" s="49">
        <v>8</v>
      </c>
      <c r="G30" s="49" t="s">
        <v>28</v>
      </c>
    </row>
    <row r="31" spans="1:7" ht="15.75" customHeight="1" x14ac:dyDescent="0.25">
      <c r="A31" s="50" t="s">
        <v>74</v>
      </c>
      <c r="B31" s="52" t="s">
        <v>75</v>
      </c>
      <c r="C31" s="48" t="s">
        <v>17</v>
      </c>
      <c r="D31" s="49" t="s">
        <v>21</v>
      </c>
      <c r="E31" s="49">
        <v>8</v>
      </c>
      <c r="F31" s="49">
        <v>9</v>
      </c>
      <c r="G31" s="49" t="s">
        <v>28</v>
      </c>
    </row>
    <row r="32" spans="1:7" ht="15.75" customHeight="1" x14ac:dyDescent="0.25">
      <c r="A32" s="50" t="s">
        <v>76</v>
      </c>
      <c r="B32" s="52" t="s">
        <v>77</v>
      </c>
      <c r="C32" s="48" t="s">
        <v>17</v>
      </c>
      <c r="D32" s="49" t="s">
        <v>27</v>
      </c>
      <c r="E32" s="49">
        <v>21</v>
      </c>
      <c r="F32" s="49">
        <v>10</v>
      </c>
      <c r="G32" s="49" t="s">
        <v>28</v>
      </c>
    </row>
    <row r="33" spans="1:7" ht="15.75" customHeight="1" x14ac:dyDescent="0.25">
      <c r="A33" s="50" t="s">
        <v>78</v>
      </c>
      <c r="B33" s="52" t="s">
        <v>79</v>
      </c>
      <c r="C33" s="48" t="s">
        <v>17</v>
      </c>
      <c r="D33" s="49" t="s">
        <v>27</v>
      </c>
      <c r="E33" s="49">
        <v>21</v>
      </c>
      <c r="F33" s="49">
        <v>11</v>
      </c>
      <c r="G33" s="49" t="s">
        <v>28</v>
      </c>
    </row>
    <row r="34" spans="1:7" ht="15.75" customHeight="1" x14ac:dyDescent="0.25">
      <c r="A34" s="46" t="s">
        <v>80</v>
      </c>
      <c r="B34" s="51" t="s">
        <v>81</v>
      </c>
      <c r="C34" s="48" t="s">
        <v>26</v>
      </c>
      <c r="D34" s="49" t="s">
        <v>21</v>
      </c>
      <c r="E34" s="49">
        <v>8</v>
      </c>
      <c r="F34" s="49">
        <v>1</v>
      </c>
      <c r="G34" s="49" t="s">
        <v>28</v>
      </c>
    </row>
    <row r="35" spans="1:7" ht="15.75" customHeight="1" x14ac:dyDescent="0.25">
      <c r="A35" s="46" t="s">
        <v>82</v>
      </c>
      <c r="B35" s="51" t="s">
        <v>83</v>
      </c>
      <c r="C35" s="48" t="s">
        <v>26</v>
      </c>
      <c r="D35" s="49" t="s">
        <v>18</v>
      </c>
      <c r="E35" s="49">
        <v>5</v>
      </c>
      <c r="F35" s="49">
        <v>2</v>
      </c>
      <c r="G35" s="49" t="s">
        <v>28</v>
      </c>
    </row>
    <row r="36" spans="1:7" ht="15.75" customHeight="1" x14ac:dyDescent="0.25">
      <c r="A36" s="46" t="s">
        <v>84</v>
      </c>
      <c r="B36" s="51" t="s">
        <v>85</v>
      </c>
      <c r="C36" s="48" t="s">
        <v>26</v>
      </c>
      <c r="D36" s="49" t="s">
        <v>18</v>
      </c>
      <c r="E36" s="49">
        <v>5</v>
      </c>
      <c r="F36" s="49">
        <v>3</v>
      </c>
      <c r="G36" s="49" t="s">
        <v>28</v>
      </c>
    </row>
    <row r="37" spans="1:7" ht="15.75" customHeight="1" x14ac:dyDescent="0.25">
      <c r="A37" s="50" t="s">
        <v>86</v>
      </c>
      <c r="B37" s="51" t="s">
        <v>87</v>
      </c>
      <c r="C37" s="48" t="s">
        <v>26</v>
      </c>
      <c r="D37" s="49" t="s">
        <v>21</v>
      </c>
      <c r="E37" s="49">
        <v>8</v>
      </c>
      <c r="F37" s="49">
        <v>7</v>
      </c>
      <c r="G37" s="49" t="s">
        <v>28</v>
      </c>
    </row>
    <row r="38" spans="1:7" ht="15.75" customHeight="1" x14ac:dyDescent="0.25">
      <c r="A38" s="50" t="s">
        <v>88</v>
      </c>
      <c r="B38" s="53" t="s">
        <v>89</v>
      </c>
      <c r="C38" s="48" t="s">
        <v>26</v>
      </c>
      <c r="D38" s="49" t="s">
        <v>21</v>
      </c>
      <c r="E38" s="49">
        <v>8</v>
      </c>
      <c r="F38" s="49">
        <v>12</v>
      </c>
      <c r="G38" s="49" t="s">
        <v>28</v>
      </c>
    </row>
    <row r="39" spans="1:7" ht="15.75" customHeight="1" x14ac:dyDescent="0.25">
      <c r="A39" s="54"/>
      <c r="B39" s="55" t="s">
        <v>31</v>
      </c>
      <c r="C39" s="56"/>
      <c r="D39" s="56"/>
      <c r="E39" s="56"/>
      <c r="F39" s="56"/>
      <c r="G39" s="57"/>
    </row>
    <row r="40" spans="1:7" ht="15.75" customHeight="1" x14ac:dyDescent="0.25">
      <c r="A40" s="58" t="s">
        <v>90</v>
      </c>
      <c r="B40" s="59" t="s">
        <v>91</v>
      </c>
      <c r="C40" s="60" t="s">
        <v>92</v>
      </c>
      <c r="D40" s="61" t="s">
        <v>18</v>
      </c>
      <c r="E40" s="61">
        <v>5</v>
      </c>
      <c r="F40" s="61">
        <v>3</v>
      </c>
      <c r="G40" s="61" t="s">
        <v>31</v>
      </c>
    </row>
    <row r="41" spans="1:7" ht="15.75" customHeight="1" x14ac:dyDescent="0.25">
      <c r="A41" s="58" t="s">
        <v>93</v>
      </c>
      <c r="B41" s="62" t="s">
        <v>94</v>
      </c>
      <c r="C41" s="60" t="s">
        <v>92</v>
      </c>
      <c r="D41" s="61" t="s">
        <v>18</v>
      </c>
      <c r="E41" s="61">
        <v>5</v>
      </c>
      <c r="F41" s="61">
        <v>4</v>
      </c>
      <c r="G41" s="61" t="s">
        <v>31</v>
      </c>
    </row>
    <row r="42" spans="1:7" ht="15.75" customHeight="1" x14ac:dyDescent="0.25">
      <c r="A42" s="58" t="s">
        <v>95</v>
      </c>
      <c r="B42" s="62" t="s">
        <v>96</v>
      </c>
      <c r="C42" s="60" t="s">
        <v>92</v>
      </c>
      <c r="D42" s="61" t="s">
        <v>39</v>
      </c>
      <c r="E42" s="61">
        <v>3</v>
      </c>
      <c r="F42" s="61">
        <v>1</v>
      </c>
      <c r="G42" s="61" t="s">
        <v>31</v>
      </c>
    </row>
    <row r="43" spans="1:7" ht="15.75" customHeight="1" x14ac:dyDescent="0.25">
      <c r="A43" s="58" t="s">
        <v>97</v>
      </c>
      <c r="B43" s="62" t="s">
        <v>98</v>
      </c>
      <c r="C43" s="60" t="s">
        <v>92</v>
      </c>
      <c r="D43" s="61" t="s">
        <v>39</v>
      </c>
      <c r="E43" s="61">
        <v>3</v>
      </c>
      <c r="F43" s="61">
        <v>2</v>
      </c>
      <c r="G43" s="61" t="s">
        <v>31</v>
      </c>
    </row>
    <row r="44" spans="1:7" ht="15.75" customHeight="1" x14ac:dyDescent="0.25">
      <c r="A44" s="58" t="s">
        <v>99</v>
      </c>
      <c r="B44" s="62" t="s">
        <v>100</v>
      </c>
      <c r="C44" s="60" t="s">
        <v>92</v>
      </c>
      <c r="D44" s="61" t="s">
        <v>27</v>
      </c>
      <c r="E44" s="61">
        <v>21</v>
      </c>
      <c r="F44" s="61">
        <v>5</v>
      </c>
      <c r="G44" s="61" t="s">
        <v>31</v>
      </c>
    </row>
  </sheetData>
  <mergeCells count="2">
    <mergeCell ref="A1:G1"/>
    <mergeCell ref="I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BDC3-EA57-423F-8C48-7A230F8D6310}">
  <dimension ref="A1:G40"/>
  <sheetViews>
    <sheetView tabSelected="1" workbookViewId="0">
      <selection activeCell="A41" sqref="A41"/>
    </sheetView>
  </sheetViews>
  <sheetFormatPr defaultRowHeight="15" x14ac:dyDescent="0.25"/>
  <cols>
    <col min="1" max="1" width="50.5703125" bestFit="1" customWidth="1"/>
    <col min="2" max="7" width="18.5703125" customWidth="1"/>
  </cols>
  <sheetData>
    <row r="1" spans="1:7" ht="15.75" x14ac:dyDescent="0.25">
      <c r="A1" s="1" t="s">
        <v>0</v>
      </c>
      <c r="B1" s="1"/>
      <c r="C1" s="1"/>
      <c r="D1" s="1"/>
      <c r="E1" s="1"/>
      <c r="F1" s="1"/>
      <c r="G1" s="1"/>
    </row>
    <row r="2" spans="1:7" ht="15.7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</row>
    <row r="4" spans="1:7" x14ac:dyDescent="0.25">
      <c r="A4" t="s">
        <v>109</v>
      </c>
    </row>
    <row r="5" spans="1:7" x14ac:dyDescent="0.25">
      <c r="A5" t="s">
        <v>108</v>
      </c>
    </row>
    <row r="6" spans="1:7" x14ac:dyDescent="0.25">
      <c r="A6" t="s">
        <v>110</v>
      </c>
    </row>
    <row r="7" spans="1:7" x14ac:dyDescent="0.25">
      <c r="A7" t="s">
        <v>111</v>
      </c>
    </row>
    <row r="8" spans="1:7" x14ac:dyDescent="0.25">
      <c r="A8" t="s">
        <v>112</v>
      </c>
    </row>
    <row r="9" spans="1:7" x14ac:dyDescent="0.25">
      <c r="A9" t="s">
        <v>113</v>
      </c>
    </row>
    <row r="10" spans="1:7" x14ac:dyDescent="0.25">
      <c r="A10" t="s">
        <v>114</v>
      </c>
    </row>
    <row r="11" spans="1:7" x14ac:dyDescent="0.25">
      <c r="A11" t="s">
        <v>115</v>
      </c>
    </row>
    <row r="12" spans="1:7" x14ac:dyDescent="0.25">
      <c r="A12" t="s">
        <v>116</v>
      </c>
    </row>
    <row r="13" spans="1:7" x14ac:dyDescent="0.25">
      <c r="A13" t="s">
        <v>117</v>
      </c>
    </row>
    <row r="14" spans="1:7" x14ac:dyDescent="0.25">
      <c r="A14" t="s">
        <v>118</v>
      </c>
    </row>
    <row r="15" spans="1:7" x14ac:dyDescent="0.25">
      <c r="A15" s="63" t="s">
        <v>119</v>
      </c>
    </row>
    <row r="16" spans="1:7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s="63" t="s">
        <v>119</v>
      </c>
    </row>
    <row r="27" spans="1:1" x14ac:dyDescent="0.25">
      <c r="A27" t="s">
        <v>130</v>
      </c>
    </row>
    <row r="28" spans="1:1" x14ac:dyDescent="0.25">
      <c r="A28" t="s">
        <v>131</v>
      </c>
    </row>
    <row r="29" spans="1:1" x14ac:dyDescent="0.25">
      <c r="A29" t="s">
        <v>132</v>
      </c>
    </row>
    <row r="30" spans="1:1" x14ac:dyDescent="0.25">
      <c r="A30" s="63" t="s">
        <v>119</v>
      </c>
    </row>
    <row r="31" spans="1:1" x14ac:dyDescent="0.25">
      <c r="A31" t="s">
        <v>133</v>
      </c>
    </row>
    <row r="32" spans="1:1" x14ac:dyDescent="0.25">
      <c r="A32" t="s">
        <v>134</v>
      </c>
    </row>
    <row r="33" spans="1:1" x14ac:dyDescent="0.25">
      <c r="A33" t="s">
        <v>135</v>
      </c>
    </row>
    <row r="34" spans="1:1" x14ac:dyDescent="0.25">
      <c r="A34" t="s">
        <v>136</v>
      </c>
    </row>
    <row r="35" spans="1:1" x14ac:dyDescent="0.25">
      <c r="A35" t="s">
        <v>137</v>
      </c>
    </row>
    <row r="36" spans="1:1" x14ac:dyDescent="0.25">
      <c r="A36" t="s">
        <v>138</v>
      </c>
    </row>
    <row r="37" spans="1:1" x14ac:dyDescent="0.25">
      <c r="A37" t="s">
        <v>139</v>
      </c>
    </row>
    <row r="38" spans="1:1" x14ac:dyDescent="0.25">
      <c r="A38" t="s">
        <v>140</v>
      </c>
    </row>
    <row r="39" spans="1:1" x14ac:dyDescent="0.25">
      <c r="A39" t="s">
        <v>141</v>
      </c>
    </row>
    <row r="40" spans="1:1" x14ac:dyDescent="0.25">
      <c r="A40" t="s">
        <v>142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Clicker Lizard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Ribeiro</dc:creator>
  <cp:lastModifiedBy>Eduardo Nascimento</cp:lastModifiedBy>
  <dcterms:created xsi:type="dcterms:W3CDTF">2015-06-05T18:19:34Z</dcterms:created>
  <dcterms:modified xsi:type="dcterms:W3CDTF">2026-04-01T02:39:55Z</dcterms:modified>
</cp:coreProperties>
</file>